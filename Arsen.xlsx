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40EE657A-70F6-4D69-B952-B1933EE42843}" xr6:coauthVersionLast="47" xr6:coauthVersionMax="47" xr10:uidLastSave="{00000000-0000-0000-0000-000000000000}"/>
  <bookViews>
    <workbookView xWindow="1125" yWindow="1125" windowWidth="21600" windowHeight="11295" xr2:uid="{228C6F46-0B64-44E7-A489-93903679856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F5" i="1"/>
  <c r="D15" i="1"/>
  <c r="J14" i="1"/>
  <c r="K14" i="1"/>
  <c r="K5" i="1"/>
  <c r="K6" i="1"/>
  <c r="K7" i="1"/>
  <c r="K8" i="1"/>
  <c r="K9" i="1"/>
  <c r="K10" i="1"/>
  <c r="K11" i="1"/>
  <c r="K12" i="1"/>
  <c r="K4" i="1"/>
  <c r="J5" i="1"/>
  <c r="J6" i="1"/>
  <c r="J7" i="1"/>
  <c r="J8" i="1"/>
  <c r="J9" i="1"/>
  <c r="J10" i="1"/>
  <c r="J11" i="1"/>
  <c r="J12" i="1"/>
  <c r="J4" i="1"/>
  <c r="G5" i="1"/>
  <c r="G6" i="1"/>
  <c r="G7" i="1"/>
  <c r="G8" i="1"/>
  <c r="G9" i="1"/>
  <c r="G10" i="1"/>
  <c r="G11" i="1"/>
  <c r="G12" i="1"/>
  <c r="G4" i="1"/>
  <c r="F7" i="1"/>
  <c r="F8" i="1"/>
  <c r="F12" i="1" l="1"/>
  <c r="F11" i="1"/>
  <c r="F14" i="1"/>
  <c r="J15" i="1"/>
  <c r="K15" i="1"/>
  <c r="F10" i="1"/>
  <c r="F6" i="1"/>
  <c r="F4" i="1"/>
  <c r="F9" i="1"/>
</calcChain>
</file>

<file path=xl/sharedStrings.xml><?xml version="1.0" encoding="utf-8"?>
<sst xmlns="http://schemas.openxmlformats.org/spreadsheetml/2006/main" count="13" uniqueCount="13">
  <si>
    <t>№ цеха</t>
  </si>
  <si>
    <t>(Pp+Ppo)*x</t>
  </si>
  <si>
    <t>(Pp+Ppo)*y</t>
  </si>
  <si>
    <t>Pp+Ppo, кВт</t>
  </si>
  <si>
    <t>Ppo, кВт</t>
  </si>
  <si>
    <t>r, мм</t>
  </si>
  <si>
    <t>α, град</t>
  </si>
  <si>
    <t>x, м</t>
  </si>
  <si>
    <t>y, м</t>
  </si>
  <si>
    <t>потребители цеха 0,4кВт</t>
  </si>
  <si>
    <t>m</t>
  </si>
  <si>
    <t>потребители цеха 10кВт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</si>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</sst>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2CEB-2A8B-4A3F-83BE-E185A60025C7}">
  <dimension ref="C2:L15"/>
  <sheetViews>
    <sheetView tabSelected="1" workbookViewId="0">
      <selection activeCell="L3" sqref="L3"/>
    </sheetView>
  </sheetViews>
  <sheetFormatPr defaultRowHeight="15" x14ac:dyDescent="0.25"/>
  <cols>
    <col min="1" max="1" width="7.85546875" customWidth="1"/>
    <col min="2" max="2" width="10.7109375" customWidth="1"/>
    <col min="8" max="8" width="10.140625" customWidth="1"/>
    <col min="9" max="9" width="10.7109375" customWidth="1"/>
  </cols>
  <sheetData>
    <row r="2" spans="3:12" x14ac:dyDescent="0.25">
      <c r="C2" s="1" t="s">
        <v>0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2" t="s">
        <v>8</v>
      </c>
      <c r="J2" s="1" t="s">
        <v>1</v>
      </c>
      <c r="K2" s="1" t="s">
        <v>2</v>
      </c>
      <c r="L2" s="1" t="s">
        <v>10</v>
      </c>
    </row>
    <row r="3" spans="3:12" x14ac:dyDescent="0.25">
      <c r="C3" s="1"/>
      <c r="D3" s="1"/>
      <c r="E3" s="1"/>
      <c r="F3" s="1" t="s">
        <v>9</v>
      </c>
      <c r="G3" s="1"/>
      <c r="H3" s="1"/>
      <c r="I3" s="1"/>
      <c r="J3" s="1"/>
      <c r="K3" s="1"/>
      <c r="L3" s="1">
        <f>(D12)/(3.14*(5^2))</f>
        <v>0.56433121019108279</v>
      </c>
    </row>
    <row r="4" spans="3:12" x14ac:dyDescent="0.25">
      <c r="C4" s="1">
        <v>1</v>
      </c>
      <c r="D4" s="1">
        <v>478</v>
      </c>
      <c r="E4" s="1">
        <v>114</v>
      </c>
      <c r="F4" s="1">
        <f>SQRT((D4)/(3.14*L$3))</f>
        <v>16.424119245860869</v>
      </c>
      <c r="G4" s="1">
        <f>(360*E4)/(D4)</f>
        <v>85.857740585774053</v>
      </c>
      <c r="H4" s="1">
        <v>250</v>
      </c>
      <c r="I4" s="1">
        <v>125</v>
      </c>
      <c r="J4" s="1">
        <f>D4*H4</f>
        <v>119500</v>
      </c>
      <c r="K4" s="1">
        <f>D4*I4</f>
        <v>59750</v>
      </c>
      <c r="L4" s="1"/>
    </row>
    <row r="5" spans="3:12" x14ac:dyDescent="0.25">
      <c r="C5" s="1">
        <v>2</v>
      </c>
      <c r="D5" s="1">
        <v>591</v>
      </c>
      <c r="E5" s="1">
        <v>171</v>
      </c>
      <c r="F5" s="1">
        <f>SQRT((D5)/(3.14*L$3))</f>
        <v>18.262569498711283</v>
      </c>
      <c r="G5" s="1">
        <f t="shared" ref="G5:G12" si="0">(360*E5)/(D5)</f>
        <v>104.16243654822335</v>
      </c>
      <c r="H5" s="1">
        <v>435</v>
      </c>
      <c r="I5" s="1">
        <v>80</v>
      </c>
      <c r="J5" s="1">
        <f t="shared" ref="J5:J14" si="1">D5*H5</f>
        <v>257085</v>
      </c>
      <c r="K5" s="1">
        <f t="shared" ref="K5:K14" si="2">D5*I5</f>
        <v>47280</v>
      </c>
      <c r="L5" s="1"/>
    </row>
    <row r="6" spans="3:12" x14ac:dyDescent="0.25">
      <c r="C6" s="1">
        <v>3</v>
      </c>
      <c r="D6" s="1">
        <v>601.5</v>
      </c>
      <c r="E6" s="1">
        <v>76.5</v>
      </c>
      <c r="F6" s="1">
        <f>SQRT((D6)/(3.14*L$3))</f>
        <v>18.424086207894732</v>
      </c>
      <c r="G6" s="1">
        <f t="shared" si="0"/>
        <v>45.785536159600994</v>
      </c>
      <c r="H6" s="1">
        <v>60</v>
      </c>
      <c r="I6" s="1">
        <v>130</v>
      </c>
      <c r="J6" s="1">
        <f t="shared" si="1"/>
        <v>36090</v>
      </c>
      <c r="K6" s="1">
        <f t="shared" si="2"/>
        <v>78195</v>
      </c>
      <c r="L6" s="1"/>
    </row>
    <row r="7" spans="3:12" x14ac:dyDescent="0.25">
      <c r="C7" s="1">
        <v>4</v>
      </c>
      <c r="D7" s="1">
        <v>502.75</v>
      </c>
      <c r="E7" s="1">
        <v>12.75</v>
      </c>
      <c r="F7" s="1">
        <f>SQRT((D7)/(3.14*L$3))</f>
        <v>16.843959202790838</v>
      </c>
      <c r="G7" s="1">
        <f t="shared" si="0"/>
        <v>9.1297861760318249</v>
      </c>
      <c r="H7" s="1">
        <v>175</v>
      </c>
      <c r="I7" s="1">
        <v>470</v>
      </c>
      <c r="J7" s="1">
        <f t="shared" si="1"/>
        <v>87981.25</v>
      </c>
      <c r="K7" s="1">
        <f t="shared" si="2"/>
        <v>236292.5</v>
      </c>
      <c r="L7" s="1"/>
    </row>
    <row r="8" spans="3:12" x14ac:dyDescent="0.25">
      <c r="C8" s="1">
        <v>5</v>
      </c>
      <c r="D8" s="1">
        <v>494.27499999999998</v>
      </c>
      <c r="E8" s="1">
        <v>4.2750000000000004</v>
      </c>
      <c r="F8" s="1">
        <f>SQRT((D8)/(3.14*L$3))</f>
        <v>16.701384081815103</v>
      </c>
      <c r="G8" s="1">
        <f t="shared" si="0"/>
        <v>3.1136513074705383</v>
      </c>
      <c r="H8" s="1">
        <v>455</v>
      </c>
      <c r="I8" s="1">
        <v>380</v>
      </c>
      <c r="J8" s="1">
        <f t="shared" si="1"/>
        <v>224895.125</v>
      </c>
      <c r="K8" s="1">
        <f t="shared" si="2"/>
        <v>187824.5</v>
      </c>
      <c r="L8" s="1"/>
    </row>
    <row r="9" spans="3:12" x14ac:dyDescent="0.25">
      <c r="C9" s="1">
        <v>6</v>
      </c>
      <c r="D9" s="1">
        <v>320</v>
      </c>
      <c r="E9" s="1">
        <v>5</v>
      </c>
      <c r="F9" s="1">
        <f>SQRT((D9)/(3.14*L$3))</f>
        <v>13.438262813667915</v>
      </c>
      <c r="G9" s="1">
        <f t="shared" si="0"/>
        <v>5.625</v>
      </c>
      <c r="H9" s="1">
        <v>620</v>
      </c>
      <c r="I9" s="1">
        <v>340</v>
      </c>
      <c r="J9" s="1">
        <f t="shared" si="1"/>
        <v>198400</v>
      </c>
      <c r="K9" s="1">
        <f t="shared" si="2"/>
        <v>108800</v>
      </c>
      <c r="L9" s="1"/>
    </row>
    <row r="10" spans="3:12" x14ac:dyDescent="0.25">
      <c r="C10" s="1">
        <v>7</v>
      </c>
      <c r="D10" s="1">
        <v>198.55</v>
      </c>
      <c r="E10" s="1">
        <v>2.5499999999999998</v>
      </c>
      <c r="F10" s="1">
        <f>SQRT((D10)/(3.14*L$3))</f>
        <v>10.585297951941502</v>
      </c>
      <c r="G10" s="1">
        <f t="shared" si="0"/>
        <v>4.6235205237975316</v>
      </c>
      <c r="H10" s="1">
        <v>460</v>
      </c>
      <c r="I10" s="1">
        <v>250</v>
      </c>
      <c r="J10" s="1">
        <f t="shared" si="1"/>
        <v>91333</v>
      </c>
      <c r="K10" s="1">
        <f t="shared" si="2"/>
        <v>49637.5</v>
      </c>
      <c r="L10" s="1"/>
    </row>
    <row r="11" spans="3:12" x14ac:dyDescent="0.25">
      <c r="C11" s="1">
        <v>8</v>
      </c>
      <c r="D11" s="1">
        <v>63.908000000000001</v>
      </c>
      <c r="E11" s="1">
        <v>4.4080000000000004</v>
      </c>
      <c r="F11" s="1">
        <f>SQRT((D11)/(3.14*L$3))</f>
        <v>6.0054527517873577</v>
      </c>
      <c r="G11" s="1">
        <f t="shared" si="0"/>
        <v>24.830694122801528</v>
      </c>
      <c r="H11" s="1">
        <v>110</v>
      </c>
      <c r="I11" s="1">
        <v>300</v>
      </c>
      <c r="J11" s="1">
        <f t="shared" si="1"/>
        <v>7029.88</v>
      </c>
      <c r="K11" s="1">
        <f t="shared" si="2"/>
        <v>19172.400000000001</v>
      </c>
      <c r="L11" s="1"/>
    </row>
    <row r="12" spans="3:12" x14ac:dyDescent="0.25">
      <c r="C12" s="1">
        <v>9</v>
      </c>
      <c r="D12" s="1">
        <v>44.3</v>
      </c>
      <c r="E12" s="1">
        <v>0.9</v>
      </c>
      <c r="F12" s="1">
        <f>SQRT((D12)/(3.14*L$3))</f>
        <v>5</v>
      </c>
      <c r="G12" s="1">
        <f t="shared" si="0"/>
        <v>7.3137697516930027</v>
      </c>
      <c r="H12" s="1">
        <v>200</v>
      </c>
      <c r="I12" s="1">
        <v>200</v>
      </c>
      <c r="J12" s="1">
        <f t="shared" si="1"/>
        <v>8860</v>
      </c>
      <c r="K12" s="1">
        <f t="shared" si="2"/>
        <v>8860</v>
      </c>
      <c r="L12" s="1"/>
    </row>
    <row r="13" spans="3:12" x14ac:dyDescent="0.25">
      <c r="C13" s="1"/>
      <c r="D13" s="1"/>
      <c r="E13" s="1"/>
      <c r="F13" s="1" t="s">
        <v>11</v>
      </c>
      <c r="G13" s="1"/>
      <c r="H13" s="1"/>
      <c r="I13" s="1"/>
      <c r="J13" s="1"/>
      <c r="K13" s="1"/>
      <c r="L13" s="1"/>
    </row>
    <row r="14" spans="3:12" x14ac:dyDescent="0.25">
      <c r="C14" s="1">
        <v>10</v>
      </c>
      <c r="D14" s="1">
        <v>700</v>
      </c>
      <c r="E14" s="1"/>
      <c r="F14" s="1">
        <f>SQRT((D14)/(3.14*L$3))</f>
        <v>19.875458737980029</v>
      </c>
      <c r="G14" s="1"/>
      <c r="H14" s="1">
        <v>80</v>
      </c>
      <c r="I14" s="1">
        <v>125</v>
      </c>
      <c r="J14" s="1">
        <f t="shared" si="1"/>
        <v>56000</v>
      </c>
      <c r="K14" s="1">
        <f t="shared" si="2"/>
        <v>87500</v>
      </c>
      <c r="L14" s="1"/>
    </row>
    <row r="15" spans="3:12" x14ac:dyDescent="0.25">
      <c r="C15" s="1" t="s">
        <v>12</v>
      </c>
      <c r="D15" s="1">
        <f>SUM(D4:D14)</f>
        <v>3994.2830000000004</v>
      </c>
      <c r="E15" s="1"/>
      <c r="F15" s="1"/>
      <c r="G15" s="1"/>
      <c r="H15" s="1"/>
      <c r="I15" s="1"/>
      <c r="J15" s="1">
        <f>SUM(J4:J14)</f>
        <v>1087174.2549999999</v>
      </c>
      <c r="K15" s="1">
        <f>SUM(K4:K14)</f>
        <v>883311.9</v>
      </c>
      <c r="L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 Black</dc:creator>
  <cp:lastModifiedBy>PC</cp:lastModifiedBy>
  <dcterms:created xsi:type="dcterms:W3CDTF">2025-10-17T16:26:19Z</dcterms:created>
  <dcterms:modified xsi:type="dcterms:W3CDTF">2025-10-17T18:40:36Z</dcterms:modified>
</cp:coreProperties>
</file>